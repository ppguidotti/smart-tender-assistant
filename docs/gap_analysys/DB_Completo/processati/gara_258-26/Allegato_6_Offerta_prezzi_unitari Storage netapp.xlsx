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11\VENIS\aree-organizzative\acquisti\ORDINI\SDAPA\RDO_26_0060_STORAGE NETAPP\DOC da pubblicare\"/>
    </mc:Choice>
  </mc:AlternateContent>
  <xr:revisionPtr revIDLastSave="0" documentId="13_ncr:1_{3ABD5BA1-9D8E-44EE-8BDA-C1F997366F2D}" xr6:coauthVersionLast="47" xr6:coauthVersionMax="47" xr10:uidLastSave="{00000000-0000-0000-0000-000000000000}"/>
  <bookViews>
    <workbookView xWindow="-120" yWindow="-120" windowWidth="29040" windowHeight="15720" xr2:uid="{67123B4D-7D51-4506-8B4E-334C79C5D175}"/>
  </bookViews>
  <sheets>
    <sheet name="Foglio1" sheetId="1" r:id="rId1"/>
  </sheets>
  <definedNames>
    <definedName name="_xlnm.Print_Area" localSheetId="0">Foglio1!$A$1:$F$19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0" i="1" s="1"/>
  <c r="E7" i="1"/>
</calcChain>
</file>

<file path=xl/sharedStrings.xml><?xml version="1.0" encoding="utf-8"?>
<sst xmlns="http://schemas.openxmlformats.org/spreadsheetml/2006/main" count="19" uniqueCount="18">
  <si>
    <t>DESCRIZIONE</t>
  </si>
  <si>
    <t>UNITA' DI MISURA</t>
  </si>
  <si>
    <t>Importo OFFERTO</t>
  </si>
  <si>
    <t>Oneri di sicurezza</t>
  </si>
  <si>
    <t>Importo complessivo OFFERTO</t>
  </si>
  <si>
    <t>PROGR.</t>
  </si>
  <si>
    <t>Importo soggetto a ribasso</t>
  </si>
  <si>
    <t>IMPORTO OFFERTO DALL'OPERATORE ECONOMICO</t>
  </si>
  <si>
    <t>IMPORTO DI RIFERIMENTO</t>
  </si>
  <si>
    <t>Acquisizione prodotti di cui alla Tabella 1 (apparati hardware, componenti di storage, licenze software e relativi servizi di supporto e manutenzione)</t>
  </si>
  <si>
    <t>Installazione, configurazione, avviamento (set-up) dei sistemi di cui alla Tabella 1 
Migrazione dei dati, spostamento fisico dei sistemi (dal DC Pleiadi al PSR) e loro riconfigurazione dei sistemi di cui alla Tabella 2</t>
  </si>
  <si>
    <t>Assistenza specialistica di secondo livello per 60 mesi dal completamento delle attività di cui ai punti B. e C.</t>
  </si>
  <si>
    <t>Importo complessivo</t>
  </si>
  <si>
    <t>A corpo</t>
  </si>
  <si>
    <t>A
di cui Tabella 4 del Capitolato Speciale d'Appalto</t>
  </si>
  <si>
    <t>B e C
di cui Tabella 4 del Capitolato Speciale d'Appalto</t>
  </si>
  <si>
    <t>D
di cui Tabella 4 del Capitolato Speciale d'Appalto</t>
  </si>
  <si>
    <t>Procedura per la partecipazione all'Appalto specifico indetto da Venis Spa per l’acquisizione di un Sistema Storage, comprensivo di componenti hardware, software e servizi, con inclusione del servizio di manutenzione e supporto hardware nell’ambito del Sistema Dinamico di Acquisizione della Pubblica Amministrazione per la fornitura di prodotti e servizi per l’informatica e le telecomunicazioni – ID 2681 
Categoria merceologica: Storage - CPV 30236000-2
Determina 60/2026 del 03/03/2026
LISTINO PREZZI UNITARIO DA COMPILARE, TRASFORMARE IN PDF E FIRMARE DIGITALMENTE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</si>
</sst>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b/>
      <i/>
      <sz val="10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6" fillId="0" borderId="1" xfId="1" applyFont="1" applyBorder="1" applyAlignment="1" applyProtection="1">
      <alignment horizontal="center" vertical="center"/>
    </xf>
    <xf numFmtId="43" fontId="6" fillId="0" borderId="1" xfId="1" applyFont="1" applyBorder="1" applyAlignment="1" applyProtection="1">
      <alignment vertical="center"/>
    </xf>
    <xf numFmtId="43" fontId="4" fillId="0" borderId="1" xfId="1" applyFont="1" applyBorder="1" applyAlignment="1" applyProtection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0" fontId="9" fillId="0" borderId="0" xfId="0" applyFont="1" applyAlignment="1">
      <alignment vertical="center"/>
    </xf>
    <xf numFmtId="43" fontId="6" fillId="2" borderId="1" xfId="1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81329</xdr:colOff>
      <xdr:row>1</xdr:row>
      <xdr:rowOff>439615</xdr:rowOff>
    </xdr:from>
    <xdr:to>
      <xdr:col>0</xdr:col>
      <xdr:colOff>1437359</xdr:colOff>
      <xdr:row>1</xdr:row>
      <xdr:rowOff>885825</xdr:rowOff>
    </xdr:to>
    <xdr:pic>
      <xdr:nvPicPr>
        <xdr:cNvPr id="2" name="Immagine2">
          <a:extLst>
            <a:ext uri="{FF2B5EF4-FFF2-40B4-BE49-F238E27FC236}">
              <a16:creationId xmlns:a16="http://schemas.microsoft.com/office/drawing/2014/main" id="{E30318CF-1544-59D4-325A-9ED19EF24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1329" y="620590"/>
          <a:ext cx="1356030" cy="446210"/>
        </a:xfrm>
        <a:prstGeom prst="rect">
          <a:avLst/>
        </a:prstGeom>
      </xdr:spPr>
    </xdr:pic>
    <xdr:clientData/>
  </xdr:twoCellAnchor>
  <xdr:twoCellAnchor editAs="oneCell">
    <xdr:from>
      <xdr:col>2</xdr:col>
      <xdr:colOff>1057275</xdr:colOff>
      <xdr:row>12</xdr:row>
      <xdr:rowOff>0</xdr:rowOff>
    </xdr:from>
    <xdr:to>
      <xdr:col>5</xdr:col>
      <xdr:colOff>1672591</xdr:colOff>
      <xdr:row>17</xdr:row>
      <xdr:rowOff>55245</xdr:rowOff>
    </xdr:to>
    <xdr:pic>
      <xdr:nvPicPr>
        <xdr:cNvPr id="4" name="Immagine 3" descr="Immagine che contiene testo, Carattere, schermata, guida">
          <a:extLst>
            <a:ext uri="{FF2B5EF4-FFF2-40B4-BE49-F238E27FC236}">
              <a16:creationId xmlns:a16="http://schemas.microsoft.com/office/drawing/2014/main" id="{6D33DAB8-CCDF-F8A8-782E-163DE834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675" y="6353175"/>
          <a:ext cx="6492241" cy="902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6C76-1F2D-4A85-BC69-4D60CC5E1CC5}">
  <sheetPr>
    <pageSetUpPr fitToPage="1"/>
  </sheetPr>
  <dimension ref="A1:F13"/>
  <sheetViews>
    <sheetView tabSelected="1" view="pageBreakPreview" zoomScaleNormal="100" zoomScaleSheetLayoutView="100" zoomScalePageLayoutView="115" workbookViewId="0">
      <selection activeCell="F6" sqref="F6"/>
    </sheetView>
  </sheetViews>
  <sheetFormatPr defaultRowHeight="12.75" x14ac:dyDescent="0.25"/>
  <cols>
    <col min="1" max="1" width="25.28515625" style="1" customWidth="1"/>
    <col min="2" max="2" width="28.42578125" style="1" customWidth="1"/>
    <col min="3" max="3" width="33.7109375" style="1" customWidth="1"/>
    <col min="4" max="4" width="31.28515625" style="1" customWidth="1"/>
    <col min="5" max="5" width="23.140625" style="1" customWidth="1"/>
    <col min="6" max="6" width="25.42578125" style="2" customWidth="1"/>
    <col min="7" max="16384" width="9.140625" style="1"/>
  </cols>
  <sheetData>
    <row r="1" spans="1:6" ht="14.25" customHeight="1" x14ac:dyDescent="0.25"/>
    <row r="2" spans="1:6" ht="124.5" customHeight="1" x14ac:dyDescent="0.25">
      <c r="B2" s="20" t="s">
        <v>17</v>
      </c>
      <c r="C2" s="20"/>
      <c r="D2" s="20"/>
      <c r="E2" s="20"/>
      <c r="F2" s="20"/>
    </row>
    <row r="3" spans="1:6" s="3" customFormat="1" ht="54" customHeight="1" x14ac:dyDescent="0.25">
      <c r="A3" s="7" t="s">
        <v>5</v>
      </c>
      <c r="B3" s="24" t="s">
        <v>0</v>
      </c>
      <c r="C3" s="25"/>
      <c r="D3" s="7" t="s">
        <v>1</v>
      </c>
      <c r="E3" s="8" t="s">
        <v>8</v>
      </c>
      <c r="F3" s="9" t="s">
        <v>7</v>
      </c>
    </row>
    <row r="4" spans="1:6" s="3" customFormat="1" ht="54" customHeight="1" x14ac:dyDescent="0.25">
      <c r="A4" s="10" t="s">
        <v>14</v>
      </c>
      <c r="B4" s="22" t="s">
        <v>9</v>
      </c>
      <c r="C4" s="23"/>
      <c r="D4" s="12" t="s">
        <v>12</v>
      </c>
      <c r="E4" s="4">
        <v>900000</v>
      </c>
      <c r="F4" s="19"/>
    </row>
    <row r="5" spans="1:6" s="3" customFormat="1" ht="75" customHeight="1" x14ac:dyDescent="0.25">
      <c r="A5" s="10" t="s">
        <v>15</v>
      </c>
      <c r="B5" s="22" t="s">
        <v>10</v>
      </c>
      <c r="C5" s="23"/>
      <c r="D5" s="12" t="s">
        <v>13</v>
      </c>
      <c r="E5" s="4">
        <v>15000</v>
      </c>
      <c r="F5" s="19"/>
    </row>
    <row r="6" spans="1:6" s="3" customFormat="1" ht="54" customHeight="1" x14ac:dyDescent="0.25">
      <c r="A6" s="10" t="s">
        <v>16</v>
      </c>
      <c r="B6" s="21" t="s">
        <v>11</v>
      </c>
      <c r="C6" s="21"/>
      <c r="D6" s="12" t="s">
        <v>13</v>
      </c>
      <c r="E6" s="4">
        <v>60000</v>
      </c>
      <c r="F6" s="19"/>
    </row>
    <row r="7" spans="1:6" ht="24.75" customHeight="1" x14ac:dyDescent="0.25">
      <c r="D7" s="11" t="s">
        <v>6</v>
      </c>
      <c r="E7" s="6">
        <f>SUM(E4:E6)</f>
        <v>975000</v>
      </c>
      <c r="F7" s="17"/>
    </row>
    <row r="8" spans="1:6" ht="24.75" customHeight="1" x14ac:dyDescent="0.25">
      <c r="D8" s="13" t="s">
        <v>2</v>
      </c>
      <c r="E8" s="14"/>
      <c r="F8" s="6">
        <f>SUM(F4:F6)</f>
        <v>0</v>
      </c>
    </row>
    <row r="9" spans="1:6" ht="24.75" customHeight="1" x14ac:dyDescent="0.25">
      <c r="D9" s="15" t="s">
        <v>3</v>
      </c>
      <c r="E9" s="16"/>
      <c r="F9" s="5">
        <v>0</v>
      </c>
    </row>
    <row r="10" spans="1:6" ht="24.75" customHeight="1" x14ac:dyDescent="0.25">
      <c r="D10" s="13" t="s">
        <v>4</v>
      </c>
      <c r="E10" s="14"/>
      <c r="F10" s="6">
        <f>+F8+F9</f>
        <v>0</v>
      </c>
    </row>
    <row r="13" spans="1:6" ht="15.75" x14ac:dyDescent="0.25">
      <c r="A13" s="18"/>
    </row>
  </sheetData>
  <sheetProtection algorithmName="SHA-512" hashValue="WlUhxZ93q20vJ0At8pbai7FXrmH2FpYh/B++YQ0SU8TqlEq08eF9Fy71rb+wBdghgsTL2gHLKTCzCo53DgDIrw==" saltValue="coN3dv9eWgDK9jngba14cA==" spinCount="100000" sheet="1" objects="1" scenarios="1" selectLockedCells="1"/>
  <mergeCells count="5">
    <mergeCell ref="B2:F2"/>
    <mergeCell ref="B6:C6"/>
    <mergeCell ref="B4:C4"/>
    <mergeCell ref="B5:C5"/>
    <mergeCell ref="B3:C3"/>
  </mergeCells>
  <phoneticPr fontId="7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58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0E685446EBF74187D9948FDFF329BF" ma:contentTypeVersion="0" ma:contentTypeDescription="Creare un nuovo documento." ma:contentTypeScope="" ma:versionID="6516bbe723baa0c02e91d9aa75db74a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18ecb8a1d69923bff2338ad8a1ae48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F0FE03-4012-4C87-84A2-0DFBDDDC9C56}"/>
</file>

<file path=customXml/itemProps2.xml><?xml version="1.0" encoding="utf-8"?>
<ds:datastoreItem xmlns:ds="http://schemas.openxmlformats.org/officeDocument/2006/customXml" ds:itemID="{EF1A2950-D37A-4AA3-9FF3-08348EEEE77B}"/>
</file>

<file path=customXml/itemProps3.xml><?xml version="1.0" encoding="utf-8"?>
<ds:datastoreItem xmlns:ds="http://schemas.openxmlformats.org/officeDocument/2006/customXml" ds:itemID="{DEB240F6-E271-4335-A018-E95F3B8E2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Ghezzo</dc:creator>
  <cp:lastModifiedBy>Daniela Lucchini</cp:lastModifiedBy>
  <cp:lastPrinted>2026-03-03T08:40:37Z</cp:lastPrinted>
  <dcterms:created xsi:type="dcterms:W3CDTF">2024-11-13T14:20:14Z</dcterms:created>
  <dcterms:modified xsi:type="dcterms:W3CDTF">2026-03-04T15:06:25Z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0x0101004F0E685446EBF74187D9948FDFF329BF</vt:lpwstr>
  </property>
</Properties>
</file>